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700" firstSheet="1" activeTab="1"/>
  </bookViews>
  <sheets>
    <sheet name="RawPublicT" sheetId="1" r:id="rId1"/>
    <sheet name="TrackPublicT" sheetId="2" r:id="rId2"/>
    <sheet name="NotePubli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<sst xmlns="http://schemas.openxmlformats.org/spreadsheetml/2006/main" count="39" uniqueCount="24">
  <si>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Route</t>
  </si>
  <si>
    <t>Target %</t>
  </si>
  <si>
    <t>Actual %</t>
  </si>
  <si>
    <t>Status</t>
  </si>
  <si>
    <t>R1</t>
  </si>
  <si>
    <t>Exceeded</t>
  </si>
  <si>
    <t>R2</t>
  </si>
  <si>
    <t>Below</t>
  </si>
  <si>
    <t>R3</t>
  </si>
  <si>
    <t>Near</t>
  </si>
  <si>
    <t>R4</t>
  </si>
  <si>
    <t>R5</t>
  </si>
  <si>
    <t>R6</t>
  </si>
  <si>
    <t>Met</t>
  </si>
  <si>
    <t>R7</t>
  </si>
  <si>
    <t>R8</t>
  </si>
  <si>
    <t>Column1</t>
  </si>
  <si>
    <t>Reference</t>
  </si>
  <si>
    <t>8 rows</t>
  </si>
  <si>
    <t>4 columns</t>
  </si>
  <si>
    <t>Exceeded Targets: R1, R4, R8</t>
  </si>
  <si>
    <t>Met Traget: R6</t>
  </si>
  <si>
    <t>R1, R6</t>
  </si>
  <si>
    <t>Below Traget (Immediate Attention): R2, 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</si>
</sst>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4" borderId="0" xfId="0" applyFont="1" applyFill="1" applyAlignment="1">
      <alignment horizontal="left" vertical="top" wrapText="1"/>
    </xf>
    <xf numFmtId="0" fontId="0" fillId="4" borderId="9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TrackPublicT!$B$1</c:f>
              <c:strCache>
                <c:ptCount val="1"/>
                <c:pt idx="0">
                  <c:v>Target 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TrackPublicT!$A$2:$A$9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TrackPublicT!$B$2:$B$9</c:f>
              <c:numCache>
                <c:formatCode>General</c:formatCode>
                <c:ptCount val="8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0"/>
        <c:axId val="698578897"/>
        <c:axId val="766386779"/>
      </c:barChart>
      <c:lineChart>
        <c:grouping val="standard"/>
        <c:varyColors val="0"/>
        <c:ser>
          <c:idx val="1"/>
          <c:order val="1"/>
          <c:tx>
            <c:strRef>
              <c:f>TrackPublicT!$C$1</c:f>
              <c:strCache>
                <c:ptCount val="1"/>
                <c:pt idx="0">
                  <c:v>Actual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9525" cap="flat" cmpd="sng">
                <a:solidFill>
                  <a:srgbClr val="FF0000"/>
                </a:solidFill>
                <a:prstDash val="solid"/>
                <a:round/>
              </a:ln>
              <a:effectLst/>
              <a:sp3d contourW="9525"/>
            </c:spPr>
          </c:dPt>
          <c:dPt>
            <c:idx val="4"/>
            <c:marker>
              <c:symbol val="none"/>
            </c:marker>
            <c:bubble3D val="0"/>
            <c:spPr>
              <a:ln w="28575" cap="rnd" cmpd="sng">
                <a:solidFill>
                  <a:srgbClr val="FF0000"/>
                </a:solidFill>
                <a:prstDash val="solid"/>
                <a:round/>
              </a:ln>
              <a:effectLst/>
              <a:sp3d contourW="2857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TrackPublicT!$A$2:$A$9</c:f>
              <c:strCache>
                <c:ptCount val="8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</c:strCache>
            </c:strRef>
          </c:cat>
          <c:val>
            <c:numRef>
              <c:f>TrackPublicT!$C$2:$C$9</c:f>
              <c:numCache>
                <c:formatCode>General</c:formatCode>
                <c:ptCount val="8"/>
                <c:pt idx="0">
                  <c:v>88.2</c:v>
                </c:pt>
                <c:pt idx="1">
                  <c:v>72.1</c:v>
                </c:pt>
                <c:pt idx="2">
                  <c:v>84.7</c:v>
                </c:pt>
                <c:pt idx="3">
                  <c:v>91</c:v>
                </c:pt>
                <c:pt idx="4">
                  <c:v>68.4</c:v>
                </c:pt>
                <c:pt idx="5">
                  <c:v>85</c:v>
                </c:pt>
                <c:pt idx="6">
                  <c:v>79.3</c:v>
                </c:pt>
                <c:pt idx="7">
                  <c:v>93.5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98578897"/>
        <c:axId val="766386779"/>
      </c:lineChart>
      <c:catAx>
        <c:axId val="698578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6386779"/>
        <c:crosses val="autoZero"/>
        <c:auto val="1"/>
        <c:lblAlgn val="ctr"/>
        <c:lblOffset val="100"/>
        <c:noMultiLvlLbl val="0"/>
      </c:catAx>
      <c:valAx>
        <c:axId val="76638677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9857889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c78edc-aaf3-4d68-973a-e2fd81f4ea55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304800</xdr:colOff>
      <xdr:row>9</xdr:row>
      <xdr:rowOff>25400</xdr:rowOff>
    </xdr:from>
    <xdr:to>
      <xdr:col>13</xdr:col>
      <xdr:colOff>711200</xdr:colOff>
      <xdr:row>22</xdr:row>
      <xdr:rowOff>127000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5425440" y="2184400"/>
        <a:ext cx="479552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9" totalsRowShown="0">
  <autoFilter xmlns:etc="http://www.wps.cn/officeDocument/2017/etCustomData" ref="A1:E9" etc:filterBottomFollowUsedRange="0"/>
  <tableColumns count="5">
    <tableColumn id="1" name="Column1"/>
    <tableColumn id="2" name="Target %"/>
    <tableColumn id="3" name="Actual %"/>
    <tableColumn id="4" name="Status">
      <calculatedColumnFormula>IF(C2&gt;B2*1.05,"Exceeded",IF(C2&gt;=B2,"Met",IF(C2&gt;=B2*0.9,"Near","Below")))</calculatedColumnFormula>
    </tableColumn>
    <tableColumn id="5" name="Referenc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9"/>
    </sheetView>
  </sheetViews>
  <sheetFormatPr defaultColWidth="9" defaultRowHeight="16.8" outlineLevelCol="3"/>
  <sheetData>
    <row r="1" ht="17" spans="1:4">
      <c r="A1" s="13" t="s">
        <v>0</v>
      </c>
      <c r="B1" s="13" t="s">
        <v>1</v>
      </c>
      <c r="C1" s="13" t="s">
        <v>2</v>
      </c>
      <c r="D1" s="13" t="s">
        <v>3</v>
      </c>
    </row>
    <row r="2" ht="17" spans="1:4">
      <c r="A2" s="14" t="s">
        <v>4</v>
      </c>
      <c r="B2" s="14">
        <v>85</v>
      </c>
      <c r="C2" s="14">
        <v>88.2</v>
      </c>
      <c r="D2" s="14" t="s">
        <v>5</v>
      </c>
    </row>
    <row r="3" ht="17" spans="1:4">
      <c r="A3" s="14" t="s">
        <v>6</v>
      </c>
      <c r="B3" s="14">
        <v>85</v>
      </c>
      <c r="C3" s="14">
        <v>72.1</v>
      </c>
      <c r="D3" s="14" t="s">
        <v>7</v>
      </c>
    </row>
    <row r="4" ht="17" spans="1:4">
      <c r="A4" s="14" t="s">
        <v>8</v>
      </c>
      <c r="B4" s="14">
        <v>85</v>
      </c>
      <c r="C4" s="14">
        <v>84.7</v>
      </c>
      <c r="D4" s="14" t="s">
        <v>9</v>
      </c>
    </row>
    <row r="5" ht="17" spans="1:4">
      <c r="A5" s="14" t="s">
        <v>10</v>
      </c>
      <c r="B5" s="14">
        <v>85</v>
      </c>
      <c r="C5" s="14">
        <v>91</v>
      </c>
      <c r="D5" s="14" t="s">
        <v>5</v>
      </c>
    </row>
    <row r="6" ht="17" spans="1:4">
      <c r="A6" s="14" t="s">
        <v>11</v>
      </c>
      <c r="B6" s="14">
        <v>85</v>
      </c>
      <c r="C6" s="14">
        <v>68.4</v>
      </c>
      <c r="D6" s="14" t="s">
        <v>7</v>
      </c>
    </row>
    <row r="7" ht="17" spans="1:4">
      <c r="A7" s="14" t="s">
        <v>12</v>
      </c>
      <c r="B7" s="14">
        <v>85</v>
      </c>
      <c r="C7" s="14">
        <v>85</v>
      </c>
      <c r="D7" s="14" t="s">
        <v>13</v>
      </c>
    </row>
    <row r="8" ht="17.75" spans="1:4">
      <c r="A8" s="14" t="s">
        <v>14</v>
      </c>
      <c r="B8" s="14">
        <v>85</v>
      </c>
      <c r="C8" s="14">
        <v>79.3</v>
      </c>
      <c r="D8" s="14" t="s">
        <v>9</v>
      </c>
    </row>
    <row r="9" ht="17" spans="1:4">
      <c r="A9" s="15" t="s">
        <v>15</v>
      </c>
      <c r="B9" s="15">
        <v>85</v>
      </c>
      <c r="C9" s="15">
        <v>93.5</v>
      </c>
      <c r="D9" s="15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L7" sqref="L7"/>
    </sheetView>
  </sheetViews>
  <sheetFormatPr defaultColWidth="9" defaultRowHeight="16.8" outlineLevelCol="4"/>
  <sheetData>
    <row r="1" ht="34" spans="1:5">
      <c r="A1" s="1" t="s">
        <v>16</v>
      </c>
      <c r="B1" s="2" t="s">
        <v>1</v>
      </c>
      <c r="C1" s="2" t="s">
        <v>2</v>
      </c>
      <c r="D1" s="3" t="s">
        <v>3</v>
      </c>
      <c r="E1" s="4" t="s">
        <v>17</v>
      </c>
    </row>
    <row r="2" ht="17" spans="1:5">
      <c r="A2" s="5" t="s">
        <v>4</v>
      </c>
      <c r="B2" s="6">
        <v>85</v>
      </c>
      <c r="C2" s="6">
        <v>88.2</v>
      </c>
      <c r="D2" s="7" t="str">
        <f>IF(C2&gt;B2*1.05,"Exceeded",IF(C2&gt;=B2,"Met",IF(C2&gt;=B2*0.9,"Near","Below")))</f>
        <v>Met</v>
      </c>
      <c r="E2" s="8">
        <v>85</v>
      </c>
    </row>
    <row r="3" ht="17" spans="1:5">
      <c r="A3" s="9" t="s">
        <v>6</v>
      </c>
      <c r="B3" s="10">
        <v>85</v>
      </c>
      <c r="C3" s="10">
        <v>72.1</v>
      </c>
      <c r="D3" s="7" t="str">
        <f t="shared" ref="D3:D9" si="0">IF(C3&gt;B3*1.05,"Exceeded",IF(C3&gt;=B3,"Met",IF(C3&gt;=B3*0.9,"Near","Below")))</f>
        <v>Below</v>
      </c>
      <c r="E3" s="8">
        <v>85</v>
      </c>
    </row>
    <row r="4" ht="17" spans="1:5">
      <c r="A4" s="5" t="s">
        <v>8</v>
      </c>
      <c r="B4" s="6">
        <v>85</v>
      </c>
      <c r="C4" s="6">
        <v>84.7</v>
      </c>
      <c r="D4" s="7" t="str">
        <f t="shared" si="0"/>
        <v>Near</v>
      </c>
      <c r="E4" s="8">
        <v>85</v>
      </c>
    </row>
    <row r="5" ht="17" spans="1:5">
      <c r="A5" s="9" t="s">
        <v>10</v>
      </c>
      <c r="B5" s="10">
        <v>85</v>
      </c>
      <c r="C5" s="10">
        <v>91</v>
      </c>
      <c r="D5" s="7" t="str">
        <f t="shared" si="0"/>
        <v>Exceeded</v>
      </c>
      <c r="E5" s="8">
        <v>85</v>
      </c>
    </row>
    <row r="6" ht="17" spans="1:5">
      <c r="A6" s="5" t="s">
        <v>11</v>
      </c>
      <c r="B6" s="6">
        <v>85</v>
      </c>
      <c r="C6" s="6">
        <v>68.4</v>
      </c>
      <c r="D6" s="7" t="str">
        <f t="shared" si="0"/>
        <v>Below</v>
      </c>
      <c r="E6" s="8">
        <v>85</v>
      </c>
    </row>
    <row r="7" ht="17" spans="1:5">
      <c r="A7" s="9" t="s">
        <v>12</v>
      </c>
      <c r="B7" s="10">
        <v>85</v>
      </c>
      <c r="C7" s="10">
        <v>85</v>
      </c>
      <c r="D7" s="7" t="str">
        <f t="shared" si="0"/>
        <v>Met</v>
      </c>
      <c r="E7" s="8">
        <v>85</v>
      </c>
    </row>
    <row r="8" ht="17" spans="1:5">
      <c r="A8" s="5" t="s">
        <v>14</v>
      </c>
      <c r="B8" s="6">
        <v>85</v>
      </c>
      <c r="C8" s="6">
        <v>79.3</v>
      </c>
      <c r="D8" s="7" t="str">
        <f t="shared" si="0"/>
        <v>Near</v>
      </c>
      <c r="E8" s="8">
        <v>85</v>
      </c>
    </row>
    <row r="9" ht="17" spans="1:5">
      <c r="A9" s="11" t="s">
        <v>15</v>
      </c>
      <c r="B9" s="12">
        <v>85</v>
      </c>
      <c r="C9" s="12">
        <v>93.5</v>
      </c>
      <c r="D9" s="7" t="str">
        <f t="shared" si="0"/>
        <v>Exceeded</v>
      </c>
      <c r="E9" s="8">
        <v>85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5" sqref="A5"/>
    </sheetView>
  </sheetViews>
  <sheetFormatPr defaultColWidth="9" defaultRowHeight="16.8" outlineLevelRow="4" outlineLevelCol="1"/>
  <sheetData>
    <row r="1" spans="1:2">
      <c r="A1" t="s">
        <v>18</v>
      </c>
    </row>
    <row r="2" spans="1:2">
      <c r="A2" t="s">
        <v>19</v>
      </c>
    </row>
    <row r="3" spans="1:2">
      <c r="A3" t="s">
        <v>20</v>
      </c>
    </row>
    <row r="4" spans="1:2">
      <c r="A4" t="s">
        <v>21</v>
      </c>
      <c r="B4" t="s">
        <v>22</v>
      </c>
    </row>
    <row r="5" spans="1:2">
      <c r="A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RawPublicT</vt:lpstr>
      <vt:lpstr>TrackPublicT</vt:lpstr>
      <vt:lpstr>NotePublicT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onwechinedu</dc:creator>
  <cp:lastModifiedBy>onwechinedu</cp:lastModifiedBy>
  <dcterms:created xsi:type="dcterms:W3CDTF">2026-07-20T16:24:00Z</dcterms:created>
  <dcterms:modified xsi:type="dcterms:W3CDTF">2026-07-22T17:59:07Z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742B1E9D3C42E9B8832F5E6A99EC82DC_41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